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abel Nilai Siswa" sheetId="1" state="visible" r:id="rId1"/>
    <sheet xmlns:r="http://schemas.openxmlformats.org/officeDocument/2006/relationships" name="2. VLOOKUP" sheetId="2" state="visible" r:id="rId2"/>
    <sheet xmlns:r="http://schemas.openxmlformats.org/officeDocument/2006/relationships" name="3. IF &amp; Nested IF" sheetId="3" state="visible" r:id="rId3"/>
    <sheet xmlns:r="http://schemas.openxmlformats.org/officeDocument/2006/relationships" name="4. SUMIF &amp; COUNTIF" sheetId="4" state="visible" r:id="rId4"/>
    <sheet xmlns:r="http://schemas.openxmlformats.org/officeDocument/2006/relationships" name="5. Chart Grafik" sheetId="5" state="visible" r:id="rId5"/>
    <sheet xmlns:r="http://schemas.openxmlformats.org/officeDocument/2006/relationships" name="6. Latih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666666"/>
    </font>
    <font>
      <name val="Calibri"/>
      <b val="1"/>
      <color rgb="00FFFFFF"/>
      <sz val="11"/>
    </font>
    <font>
      <b val="1"/>
    </font>
    <font>
      <b val="1"/>
      <sz val="12"/>
    </font>
    <font>
      <b val="1"/>
      <color rgb="002F5496"/>
      <sz val="12"/>
    </font>
    <font>
      <i val="1"/>
    </font>
    <font>
      <b val="1"/>
      <color rgb="00CC0000"/>
      <sz val="12"/>
    </font>
    <font>
      <i val="1"/>
      <color rgb="00CC000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Penjualan Bulanan per Kategori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Chart Grafik'!B4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'5. Chart Grafik'!$A$5:$A$10</f>
            </numRef>
          </cat>
          <val>
            <numRef>
              <f>'5. Chart Grafik'!$B$5:$B$10</f>
            </numRef>
          </val>
        </ser>
        <ser>
          <idx val="1"/>
          <order val="1"/>
          <tx>
            <strRef>
              <f>'5. Chart Grafik'!C4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'5. Chart Grafik'!$A$5:$A$10</f>
            </numRef>
          </cat>
          <val>
            <numRef>
              <f>'5. Chart Grafik'!$C$5:$C$10</f>
            </numRef>
          </val>
        </ser>
        <ser>
          <idx val="2"/>
          <order val="2"/>
          <tx>
            <strRef>
              <f>'5. Chart Grafik'!D4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'5. Chart Grafik'!$A$5:$A$10</f>
            </numRef>
          </cat>
          <val>
            <numRef>
              <f>'5. Chart Grafik'!$D$5:$D$10</f>
            </numRef>
          </val>
        </ser>
        <ser>
          <idx val="3"/>
          <order val="3"/>
          <tx>
            <strRef>
              <f>'5. Chart Grafik'!E4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'5. Chart Grafik'!$A$5:$A$10</f>
            </numRef>
          </cat>
          <val>
            <numRef>
              <f>'5. Chart Grafik'!$E$5:$E$10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Rupiah (Rp)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Komposisi Penjualan per Kategori</a:t>
            </a:r>
          </a:p>
        </rich>
      </tx>
    </title>
    <plotArea>
      <pieChart>
        <varyColors val="1"/>
        <ser>
          <idx val="0"/>
          <order val="0"/>
          <tx>
            <strRef>
              <f>'5. Chart Grafik'!B10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'5. Chart Grafik'!$B$4:$E$4</f>
            </numRef>
          </cat>
          <val>
            <numRef>
              <f>'5. Chart Grafik'!$B$11</f>
            </numRef>
          </val>
        </ser>
        <ser>
          <idx val="1"/>
          <order val="1"/>
          <tx>
            <strRef>
              <f>'5. Chart Grafik'!C10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'5. Chart Grafik'!$B$4:$E$4</f>
            </numRef>
          </cat>
          <val>
            <numRef>
              <f>'5. Chart Grafik'!$C$11</f>
            </numRef>
          </val>
        </ser>
        <ser>
          <idx val="2"/>
          <order val="2"/>
          <tx>
            <strRef>
              <f>'5. Chart Grafik'!D10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'5. Chart Grafik'!$B$4:$E$4</f>
            </numRef>
          </cat>
          <val>
            <numRef>
              <f>'5. Chart Grafik'!$D$11</f>
            </numRef>
          </val>
        </ser>
        <ser>
          <idx val="3"/>
          <order val="3"/>
          <tx>
            <strRef>
              <f>'5. Chart Grafik'!E10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'5. Chart Grafik'!$B$4:$E$4</f>
            </numRef>
          </cat>
          <val>
            <numRef>
              <f>'5. Chart Grafik'!$E$11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9" customWidth="1" min="9" max="9"/>
    <col width="32" customWidth="1" min="10" max="10"/>
  </cols>
  <sheetData>
    <row r="1" ht="35" customHeight="1">
      <c r="A1" s="1" t="inlineStr">
        <is>
          <t>MATERI EXCEL KELAS 11 SMK — TABEL NILAI SISWA</t>
        </is>
      </c>
    </row>
    <row r="2">
      <c r="A2" s="2" t="inlineStr">
        <is>
          <t>Rumus: SUM, AVERAGE, MAX, MIN, COUNT, COUNTIF</t>
        </is>
      </c>
    </row>
    <row r="3"/>
    <row r="4">
      <c r="A4" s="3" t="inlineStr">
        <is>
          <t>No</t>
        </is>
      </c>
      <c r="B4" s="3" t="inlineStr">
        <is>
          <t>Nama Siswa</t>
        </is>
      </c>
      <c r="C4" s="3" t="inlineStr">
        <is>
          <t>Bindo</t>
        </is>
      </c>
      <c r="D4" s="3" t="inlineStr">
        <is>
          <t>Binggris</t>
        </is>
      </c>
      <c r="E4" s="3" t="inlineStr">
        <is>
          <t>Matematika</t>
        </is>
      </c>
      <c r="F4" s="3" t="inlineStr">
        <is>
          <t>IPA</t>
        </is>
      </c>
      <c r="G4" s="3" t="inlineStr">
        <is>
          <t>IPS</t>
        </is>
      </c>
      <c r="H4" s="3" t="inlineStr">
        <is>
          <t>Jumlah</t>
        </is>
      </c>
      <c r="I4" s="3" t="inlineStr">
        <is>
          <t>Rata-rata</t>
        </is>
      </c>
      <c r="J4" s="3" t="inlineStr">
        <is>
          <t>Status</t>
        </is>
      </c>
    </row>
    <row r="5">
      <c r="A5" s="4" t="n">
        <v>1</v>
      </c>
      <c r="B5" s="4" t="inlineStr">
        <is>
          <t>Budi Santoso</t>
        </is>
      </c>
      <c r="C5" s="4" t="n">
        <v>85</v>
      </c>
      <c r="D5" s="4" t="n">
        <v>78</v>
      </c>
      <c r="E5" s="4" t="n">
        <v>72</v>
      </c>
      <c r="F5" s="4" t="n">
        <v>90</v>
      </c>
      <c r="G5" s="4" t="n">
        <v>82</v>
      </c>
      <c r="H5" s="5">
        <f>SUM(C5:G5)</f>
        <v/>
      </c>
      <c r="I5" s="6">
        <f>AVERAGE(C5:G5)</f>
        <v/>
      </c>
      <c r="J5" s="7">
        <f>IF(I5&gt;=75,"Lulus","Tidak Lulus")</f>
        <v/>
      </c>
    </row>
    <row r="6">
      <c r="A6" s="4" t="n">
        <v>2</v>
      </c>
      <c r="B6" s="4" t="inlineStr">
        <is>
          <t>Siti Nurhaliza</t>
        </is>
      </c>
      <c r="C6" s="4" t="n">
        <v>92</v>
      </c>
      <c r="D6" s="4" t="n">
        <v>88</v>
      </c>
      <c r="E6" s="4" t="n">
        <v>95</v>
      </c>
      <c r="F6" s="4" t="n">
        <v>85</v>
      </c>
      <c r="G6" s="4" t="n">
        <v>90</v>
      </c>
      <c r="H6" s="5">
        <f>SUM(C6:G6)</f>
        <v/>
      </c>
      <c r="I6" s="6">
        <f>AVERAGE(C6:G6)</f>
        <v/>
      </c>
      <c r="J6" s="7">
        <f>IF(I6&gt;=75,"Lulus","Tidak Lulus")</f>
        <v/>
      </c>
    </row>
    <row r="7">
      <c r="A7" s="4" t="n">
        <v>3</v>
      </c>
      <c r="B7" s="4" t="inlineStr">
        <is>
          <t>Andi Pratama</t>
        </is>
      </c>
      <c r="C7" s="4" t="n">
        <v>65</v>
      </c>
      <c r="D7" s="4" t="n">
        <v>70</v>
      </c>
      <c r="E7" s="4" t="n">
        <v>58</v>
      </c>
      <c r="F7" s="4" t="n">
        <v>72</v>
      </c>
      <c r="G7" s="4" t="n">
        <v>68</v>
      </c>
      <c r="H7" s="5">
        <f>SUM(C7:G7)</f>
        <v/>
      </c>
      <c r="I7" s="6">
        <f>AVERAGE(C7:G7)</f>
        <v/>
      </c>
      <c r="J7" s="7">
        <f>IF(I7&gt;=75,"Lulus","Tidak Lulus")</f>
        <v/>
      </c>
    </row>
    <row r="8">
      <c r="A8" s="4" t="n">
        <v>4</v>
      </c>
      <c r="B8" s="4" t="inlineStr">
        <is>
          <t>Rina Wulandari</t>
        </is>
      </c>
      <c r="C8" s="4" t="n">
        <v>78</v>
      </c>
      <c r="D8" s="4" t="n">
        <v>82</v>
      </c>
      <c r="E8" s="4" t="n">
        <v>80</v>
      </c>
      <c r="F8" s="4" t="n">
        <v>88</v>
      </c>
      <c r="G8" s="4" t="n">
        <v>75</v>
      </c>
      <c r="H8" s="5">
        <f>SUM(C8:G8)</f>
        <v/>
      </c>
      <c r="I8" s="6">
        <f>AVERAGE(C8:G8)</f>
        <v/>
      </c>
      <c r="J8" s="7">
        <f>IF(I8&gt;=75,"Lulus","Tidak Lulus")</f>
        <v/>
      </c>
    </row>
    <row r="9">
      <c r="A9" s="4" t="n">
        <v>5</v>
      </c>
      <c r="B9" s="4" t="inlineStr">
        <is>
          <t>Dedi Kurniawan</t>
        </is>
      </c>
      <c r="C9" s="4" t="n">
        <v>90</v>
      </c>
      <c r="D9" s="4" t="n">
        <v>85</v>
      </c>
      <c r="E9" s="4" t="n">
        <v>88</v>
      </c>
      <c r="F9" s="4" t="n">
        <v>92</v>
      </c>
      <c r="G9" s="4" t="n">
        <v>87</v>
      </c>
      <c r="H9" s="5">
        <f>SUM(C9:G9)</f>
        <v/>
      </c>
      <c r="I9" s="6">
        <f>AVERAGE(C9:G9)</f>
        <v/>
      </c>
      <c r="J9" s="7">
        <f>IF(I9&gt;=75,"Lulus","Tidak Lulus")</f>
        <v/>
      </c>
    </row>
    <row r="10">
      <c r="A10" s="4" t="n">
        <v>6</v>
      </c>
      <c r="B10" s="4" t="inlineStr">
        <is>
          <t>Maya Putri</t>
        </is>
      </c>
      <c r="C10" s="4" t="n">
        <v>55</v>
      </c>
      <c r="D10" s="4" t="n">
        <v>60</v>
      </c>
      <c r="E10" s="4" t="n">
        <v>45</v>
      </c>
      <c r="F10" s="4" t="n">
        <v>62</v>
      </c>
      <c r="G10" s="4" t="n">
        <v>58</v>
      </c>
      <c r="H10" s="5">
        <f>SUM(C10:G10)</f>
        <v/>
      </c>
      <c r="I10" s="6">
        <f>AVERAGE(C10:G10)</f>
        <v/>
      </c>
      <c r="J10" s="7">
        <f>IF(I10&gt;=75,"Lulus","Tidak Lulus")</f>
        <v/>
      </c>
    </row>
    <row r="11">
      <c r="A11" s="4" t="n">
        <v>7</v>
      </c>
      <c r="B11" s="4" t="inlineStr">
        <is>
          <t>Rizky Pratama</t>
        </is>
      </c>
      <c r="C11" s="4" t="n">
        <v>88</v>
      </c>
      <c r="D11" s="4" t="n">
        <v>90</v>
      </c>
      <c r="E11" s="4" t="n">
        <v>92</v>
      </c>
      <c r="F11" s="4" t="n">
        <v>86</v>
      </c>
      <c r="G11" s="4" t="n">
        <v>91</v>
      </c>
      <c r="H11" s="5">
        <f>SUM(C11:G11)</f>
        <v/>
      </c>
      <c r="I11" s="6">
        <f>AVERAGE(C11:G11)</f>
        <v/>
      </c>
      <c r="J11" s="7">
        <f>IF(I11&gt;=75,"Lulus","Tidak Lulus")</f>
        <v/>
      </c>
    </row>
    <row r="12">
      <c r="A12" s="4" t="n">
        <v>8</v>
      </c>
      <c r="B12" s="4" t="inlineStr">
        <is>
          <t>Lestari Dewi</t>
        </is>
      </c>
      <c r="C12" s="4" t="n">
        <v>72</v>
      </c>
      <c r="D12" s="4" t="n">
        <v>75</v>
      </c>
      <c r="E12" s="4" t="n">
        <v>68</v>
      </c>
      <c r="F12" s="4" t="n">
        <v>78</v>
      </c>
      <c r="G12" s="4" t="n">
        <v>70</v>
      </c>
      <c r="H12" s="5">
        <f>SUM(C12:G12)</f>
        <v/>
      </c>
      <c r="I12" s="6">
        <f>AVERAGE(C12:G12)</f>
        <v/>
      </c>
      <c r="J12" s="7">
        <f>IF(I12&gt;=75,"Lulus","Tidak Lulus")</f>
        <v/>
      </c>
    </row>
    <row r="13">
      <c r="A13" s="4" t="n">
        <v>9</v>
      </c>
      <c r="B13" s="4" t="inlineStr">
        <is>
          <t>Fajar Nugroho</t>
        </is>
      </c>
      <c r="C13" s="4" t="n">
        <v>80</v>
      </c>
      <c r="D13" s="4" t="n">
        <v>82</v>
      </c>
      <c r="E13" s="4" t="n">
        <v>75</v>
      </c>
      <c r="F13" s="4" t="n">
        <v>84</v>
      </c>
      <c r="G13" s="4" t="n">
        <v>79</v>
      </c>
      <c r="H13" s="5">
        <f>SUM(C13:G13)</f>
        <v/>
      </c>
      <c r="I13" s="6">
        <f>AVERAGE(C13:G13)</f>
        <v/>
      </c>
      <c r="J13" s="7">
        <f>IF(I13&gt;=75,"Lulus","Tidak Lulus")</f>
        <v/>
      </c>
    </row>
    <row r="14">
      <c r="A14" s="4" t="n">
        <v>10</v>
      </c>
      <c r="B14" s="4" t="inlineStr">
        <is>
          <t>Diana Sari</t>
        </is>
      </c>
      <c r="C14" s="4" t="n">
        <v>95</v>
      </c>
      <c r="D14" s="4" t="n">
        <v>92</v>
      </c>
      <c r="E14" s="4" t="n">
        <v>98</v>
      </c>
      <c r="F14" s="4" t="n">
        <v>94</v>
      </c>
      <c r="G14" s="4" t="n">
        <v>96</v>
      </c>
      <c r="H14" s="5">
        <f>SUM(C14:G14)</f>
        <v/>
      </c>
      <c r="I14" s="6">
        <f>AVERAGE(C14:G14)</f>
        <v/>
      </c>
      <c r="J14" s="7">
        <f>IF(I14&gt;=75,"Lulus","Tidak Lulus")</f>
        <v/>
      </c>
    </row>
    <row r="15"/>
    <row r="16">
      <c r="B16" s="8" t="inlineStr">
        <is>
          <t>TOTAL</t>
        </is>
      </c>
      <c r="C16" s="9">
        <f>SUM(C5:C14)</f>
        <v/>
      </c>
      <c r="D16" s="9">
        <f>SUM(D5:D14)</f>
        <v/>
      </c>
      <c r="E16" s="9">
        <f>SUM(E5:E14)</f>
        <v/>
      </c>
      <c r="F16" s="9">
        <f>SUM(F5:F14)</f>
        <v/>
      </c>
      <c r="G16" s="9">
        <f>SUM(G5:G14)</f>
        <v/>
      </c>
    </row>
    <row r="17">
      <c r="B17" s="8" t="inlineStr">
        <is>
          <t>RATA-RATA</t>
        </is>
      </c>
      <c r="C17" s="10">
        <f>AVERAGE(C5:C14)</f>
        <v/>
      </c>
      <c r="D17" s="10">
        <f>AVERAGE(D5:D14)</f>
        <v/>
      </c>
      <c r="E17" s="10">
        <f>AVERAGE(E5:E14)</f>
        <v/>
      </c>
      <c r="F17" s="10">
        <f>AVERAGE(F5:F14)</f>
        <v/>
      </c>
      <c r="G17" s="10">
        <f>AVERAGE(G5:G14)</f>
        <v/>
      </c>
    </row>
    <row r="18">
      <c r="B18" s="8" t="inlineStr">
        <is>
          <t>TERTINGGI</t>
        </is>
      </c>
      <c r="C18" s="11">
        <f>MAX(C5:C14)</f>
        <v/>
      </c>
      <c r="D18" s="11">
        <f>MAX(D5:D14)</f>
        <v/>
      </c>
      <c r="E18" s="11">
        <f>MAX(E5:E14)</f>
        <v/>
      </c>
      <c r="F18" s="11">
        <f>MAX(F5:F14)</f>
        <v/>
      </c>
      <c r="G18" s="11">
        <f>MAX(G5:G14)</f>
        <v/>
      </c>
    </row>
    <row r="19">
      <c r="B19" s="8" t="inlineStr">
        <is>
          <t>TERENDAH</t>
        </is>
      </c>
      <c r="C19" s="11">
        <f>MIN(C5:C14)</f>
        <v/>
      </c>
      <c r="D19" s="11">
        <f>MIN(D5:D14)</f>
        <v/>
      </c>
      <c r="E19" s="11">
        <f>MIN(E5:E14)</f>
        <v/>
      </c>
      <c r="F19" s="11">
        <f>MIN(F5:F14)</f>
        <v/>
      </c>
      <c r="G19" s="11">
        <f>MIN(G5:G14)</f>
        <v/>
      </c>
    </row>
    <row r="20"/>
    <row r="21">
      <c r="A21" s="12" t="inlineStr">
        <is>
          <t>KETERANGAN RUMUS:</t>
        </is>
      </c>
    </row>
    <row r="22">
      <c r="A22" s="13">
        <f>SUM(C5:G5)</f>
        <v/>
      </c>
      <c r="C22" t="inlineStr">
        <is>
          <t>Menjumlahkan semua nilai</t>
        </is>
      </c>
    </row>
    <row r="23">
      <c r="A23" s="13">
        <f>AVERAGE(C5:G5)</f>
        <v/>
      </c>
      <c r="C23" t="inlineStr">
        <is>
          <t>Menghitung rata-rata</t>
        </is>
      </c>
    </row>
    <row r="24">
      <c r="A24" s="13">
        <f>MAX(C5:G5)</f>
        <v/>
      </c>
      <c r="C24" t="inlineStr">
        <is>
          <t>Mencari nilai tertinggi</t>
        </is>
      </c>
    </row>
    <row r="25">
      <c r="A25" s="13">
        <f>MIN(C5:G5)</f>
        <v/>
      </c>
      <c r="C25" t="inlineStr">
        <is>
          <t>Mencari nilai terendah</t>
        </is>
      </c>
    </row>
    <row r="26">
      <c r="A26" s="13">
        <f>IF(I5&gt;=75,"Lulus","Tidak Lulus")</f>
        <v/>
      </c>
      <c r="C26" t="inlineStr">
        <is>
          <t>Kondisi: Jika rata-rata &gt;= 75 Lulus</t>
        </is>
      </c>
    </row>
    <row r="27">
      <c r="A27" s="13">
        <f>COUNT(C5:C14)</f>
        <v/>
      </c>
      <c r="C27" t="inlineStr">
        <is>
          <t>Menghitung jumlah angka</t>
        </is>
      </c>
    </row>
  </sheetData>
  <mergeCells count="8">
    <mergeCell ref="A1:J1"/>
    <mergeCell ref="C27:E27"/>
    <mergeCell ref="C23:E23"/>
    <mergeCell ref="C22:E22"/>
    <mergeCell ref="C26:E26"/>
    <mergeCell ref="A2:J2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28" customWidth="1" min="4" max="4"/>
    <col width="15" customWidth="1" min="5" max="5"/>
    <col width="25" customWidth="1" min="6" max="6"/>
    <col width="14" customWidth="1" min="7" max="7"/>
    <col width="12" customWidth="1" min="8" max="8"/>
  </cols>
  <sheetData>
    <row r="1" ht="35" customHeight="1">
      <c r="A1" s="1" t="inlineStr">
        <is>
          <t>MATERI: VLOOKUP — Pencarian Data Vertikal</t>
        </is>
      </c>
    </row>
    <row r="2">
      <c r="A2" s="2" t="inlineStr">
        <is>
          <t>Rumus: =VLOOKUP(nilai_cari, tabel_array, kolom_index, [FALSE])</t>
        </is>
      </c>
    </row>
    <row r="3"/>
    <row r="4">
      <c r="A4" s="14" t="inlineStr">
        <is>
          <t>TABEL DATA SISWA</t>
        </is>
      </c>
    </row>
    <row r="5">
      <c r="A5" s="3" t="inlineStr">
        <is>
          <t>NIS</t>
        </is>
      </c>
      <c r="B5" s="3" t="inlineStr">
        <is>
          <t>Nama</t>
        </is>
      </c>
      <c r="C5" s="3" t="inlineStr">
        <is>
          <t>Kelas</t>
        </is>
      </c>
      <c r="D5" s="3" t="inlineStr">
        <is>
          <t>Jurusan</t>
        </is>
      </c>
      <c r="E5" s="3" t="inlineStr">
        <is>
          <t>Jenis Kelamin</t>
        </is>
      </c>
      <c r="F5" s="3" t="inlineStr">
        <is>
          <t>Alamat</t>
        </is>
      </c>
      <c r="G5" s="3" t="inlineStr">
        <is>
          <t>No HP</t>
        </is>
      </c>
    </row>
    <row r="6">
      <c r="A6" s="4" t="inlineStr">
        <is>
          <t>2024001</t>
        </is>
      </c>
      <c r="B6" s="4" t="inlineStr">
        <is>
          <t>Budi Santoso</t>
        </is>
      </c>
      <c r="C6" s="4" t="inlineStr">
        <is>
          <t>XI RPL 1</t>
        </is>
      </c>
      <c r="D6" s="4" t="inlineStr">
        <is>
          <t>Rekayasa Perangkat Lunak</t>
        </is>
      </c>
      <c r="E6" s="4" t="inlineStr">
        <is>
          <t>Laki-laki</t>
        </is>
      </c>
      <c r="F6" s="4" t="inlineStr">
        <is>
          <t>Jl. Merdeka No. 10</t>
        </is>
      </c>
      <c r="G6" s="4" t="inlineStr">
        <is>
          <t>081234567890</t>
        </is>
      </c>
    </row>
    <row r="7">
      <c r="A7" s="4" t="inlineStr">
        <is>
          <t>2024002</t>
        </is>
      </c>
      <c r="B7" s="4" t="inlineStr">
        <is>
          <t>Siti Nurhaliza</t>
        </is>
      </c>
      <c r="C7" s="4" t="inlineStr">
        <is>
          <t>XI RPL 1</t>
        </is>
      </c>
      <c r="D7" s="4" t="inlineStr">
        <is>
          <t>Rekayasa Perangkat Lunak</t>
        </is>
      </c>
      <c r="E7" s="4" t="inlineStr">
        <is>
          <t>Perempuan</t>
        </is>
      </c>
      <c r="F7" s="4" t="inlineStr">
        <is>
          <t>Jl. Sudirman No. 25</t>
        </is>
      </c>
      <c r="G7" s="4" t="inlineStr">
        <is>
          <t>081234567891</t>
        </is>
      </c>
    </row>
    <row r="8">
      <c r="A8" s="4" t="inlineStr">
        <is>
          <t>2024003</t>
        </is>
      </c>
      <c r="B8" s="4" t="inlineStr">
        <is>
          <t>Andi Pratama</t>
        </is>
      </c>
      <c r="C8" s="4" t="inlineStr">
        <is>
          <t>XI TKJ 1</t>
        </is>
      </c>
      <c r="D8" s="4" t="inlineStr">
        <is>
          <t>Teknik Komputer &amp; Jaringan</t>
        </is>
      </c>
      <c r="E8" s="4" t="inlineStr">
        <is>
          <t>Laki-laki</t>
        </is>
      </c>
      <c r="F8" s="4" t="inlineStr">
        <is>
          <t>Jl. Gatot Subroto No. 5</t>
        </is>
      </c>
      <c r="G8" s="4" t="inlineStr">
        <is>
          <t>081234567892</t>
        </is>
      </c>
    </row>
    <row r="9">
      <c r="A9" s="4" t="inlineStr">
        <is>
          <t>2024004</t>
        </is>
      </c>
      <c r="B9" s="4" t="inlineStr">
        <is>
          <t>Rina Wulandari</t>
        </is>
      </c>
      <c r="C9" s="4" t="inlineStr">
        <is>
          <t>XI MM 1</t>
        </is>
      </c>
      <c r="D9" s="4" t="inlineStr">
        <is>
          <t>Multimedia</t>
        </is>
      </c>
      <c r="E9" s="4" t="inlineStr">
        <is>
          <t>Perempuan</t>
        </is>
      </c>
      <c r="F9" s="4" t="inlineStr">
        <is>
          <t>Jl. Pahlawan No. 15</t>
        </is>
      </c>
      <c r="G9" s="4" t="inlineStr">
        <is>
          <t>081234567893</t>
        </is>
      </c>
    </row>
    <row r="10">
      <c r="A10" s="4" t="inlineStr">
        <is>
          <t>2024005</t>
        </is>
      </c>
      <c r="B10" s="4" t="inlineStr">
        <is>
          <t>Dedi Kurniawan</t>
        </is>
      </c>
      <c r="C10" s="4" t="inlineStr">
        <is>
          <t>XI RPL 2</t>
        </is>
      </c>
      <c r="D10" s="4" t="inlineStr">
        <is>
          <t>Rekayasa Perangkat Lunak</t>
        </is>
      </c>
      <c r="E10" s="4" t="inlineStr">
        <is>
          <t>Laki-laki</t>
        </is>
      </c>
      <c r="F10" s="4" t="inlineStr">
        <is>
          <t>Jl. Diponegoro No. 8</t>
        </is>
      </c>
      <c r="G10" s="4" t="inlineStr">
        <is>
          <t>081234567894</t>
        </is>
      </c>
    </row>
    <row r="11">
      <c r="A11" s="4" t="inlineStr">
        <is>
          <t>2024006</t>
        </is>
      </c>
      <c r="B11" s="4" t="inlineStr">
        <is>
          <t>Maya Putri</t>
        </is>
      </c>
      <c r="C11" s="4" t="inlineStr">
        <is>
          <t>XI TKJ 2</t>
        </is>
      </c>
      <c r="D11" s="4" t="inlineStr">
        <is>
          <t>Teknik Komputer &amp; Jaringan</t>
        </is>
      </c>
      <c r="E11" s="4" t="inlineStr">
        <is>
          <t>Perempuan</t>
        </is>
      </c>
      <c r="F11" s="4" t="inlineStr">
        <is>
          <t>Jl. Ahmad Yani No. 20</t>
        </is>
      </c>
      <c r="G11" s="4" t="inlineStr">
        <is>
          <t>081234567895</t>
        </is>
      </c>
    </row>
    <row r="12">
      <c r="A12" s="4" t="inlineStr">
        <is>
          <t>2024007</t>
        </is>
      </c>
      <c r="B12" s="4" t="inlineStr">
        <is>
          <t>Rizky Pratama</t>
        </is>
      </c>
      <c r="C12" s="4" t="inlineStr">
        <is>
          <t>XI MM 2</t>
        </is>
      </c>
      <c r="D12" s="4" t="inlineStr">
        <is>
          <t>Multimedia</t>
        </is>
      </c>
      <c r="E12" s="4" t="inlineStr">
        <is>
          <t>Laki-laki</t>
        </is>
      </c>
      <c r="F12" s="4" t="inlineStr">
        <is>
          <t>Jl. Imam Bonjol No. 12</t>
        </is>
      </c>
      <c r="G12" s="4" t="inlineStr">
        <is>
          <t>081234567896</t>
        </is>
      </c>
    </row>
    <row r="13">
      <c r="A13" s="4" t="inlineStr">
        <is>
          <t>2024008</t>
        </is>
      </c>
      <c r="B13" s="4" t="inlineStr">
        <is>
          <t>Lestari Dewi</t>
        </is>
      </c>
      <c r="C13" s="4" t="inlineStr">
        <is>
          <t>XI RPL 1</t>
        </is>
      </c>
      <c r="D13" s="4" t="inlineStr">
        <is>
          <t>Rekayasa Perangkat Lunak</t>
        </is>
      </c>
      <c r="E13" s="4" t="inlineStr">
        <is>
          <t>Perempuan</t>
        </is>
      </c>
      <c r="F13" s="4" t="inlineStr">
        <is>
          <t>Jl. Sultan Agung No. 3</t>
        </is>
      </c>
      <c r="G13" s="4" t="inlineStr">
        <is>
          <t>081234567897</t>
        </is>
      </c>
    </row>
    <row r="14">
      <c r="A14" s="4" t="inlineStr">
        <is>
          <t>2024009</t>
        </is>
      </c>
      <c r="B14" s="4" t="inlineStr">
        <is>
          <t>Fajar Nugroho</t>
        </is>
      </c>
      <c r="C14" s="4" t="inlineStr">
        <is>
          <t>XI TKJ 1</t>
        </is>
      </c>
      <c r="D14" s="4" t="inlineStr">
        <is>
          <t>Teknik Komputer &amp; Jaringan</t>
        </is>
      </c>
      <c r="E14" s="4" t="inlineStr">
        <is>
          <t>Laki-laki</t>
        </is>
      </c>
      <c r="F14" s="4" t="inlineStr">
        <is>
          <t>Jl. Hayam Wuruk No. 7</t>
        </is>
      </c>
      <c r="G14" s="4" t="inlineStr">
        <is>
          <t>081234567898</t>
        </is>
      </c>
    </row>
    <row r="15">
      <c r="A15" s="4" t="inlineStr">
        <is>
          <t>2024010</t>
        </is>
      </c>
      <c r="B15" s="4" t="inlineStr">
        <is>
          <t>Diana Sari</t>
        </is>
      </c>
      <c r="C15" s="4" t="inlineStr">
        <is>
          <t>XI MM 1</t>
        </is>
      </c>
      <c r="D15" s="4" t="inlineStr">
        <is>
          <t>Multimedia</t>
        </is>
      </c>
      <c r="E15" s="4" t="inlineStr">
        <is>
          <t>Perempuan</t>
        </is>
      </c>
      <c r="F15" s="4" t="inlineStr">
        <is>
          <t>Jl. Veteran No. 18</t>
        </is>
      </c>
      <c r="G15" s="4" t="inlineStr">
        <is>
          <t>081234567899</t>
        </is>
      </c>
    </row>
    <row r="16"/>
    <row r="17"/>
    <row r="18">
      <c r="A18" s="14" t="inlineStr">
        <is>
          <t>CONTOH VLOOKUP:</t>
        </is>
      </c>
    </row>
    <row r="19">
      <c r="A19" s="3" t="inlineStr">
        <is>
          <t>Soal</t>
        </is>
      </c>
      <c r="B19" s="3" t="inlineStr">
        <is>
          <t>NIS Dicari</t>
        </is>
      </c>
      <c r="C19" s="3" t="inlineStr">
        <is>
          <t>Rumus VLOOKUP</t>
        </is>
      </c>
      <c r="D19" s="3" t="inlineStr">
        <is>
          <t>Hasil</t>
        </is>
      </c>
    </row>
    <row r="20">
      <c r="A20" s="4" t="inlineStr">
        <is>
          <t>Cari Nama dari NIS</t>
        </is>
      </c>
      <c r="B20" s="4" t="inlineStr">
        <is>
          <t>2024003</t>
        </is>
      </c>
      <c r="C20" s="7">
        <f>VLOOKUP(B19,$A$5:$G$14,2,FALSE)</f>
        <v/>
      </c>
      <c r="D20" s="11" t="inlineStr">
        <is>
          <t>Andi Pratama</t>
        </is>
      </c>
    </row>
    <row r="21">
      <c r="A21" s="4" t="inlineStr">
        <is>
          <t>Cari Kelas dari NIS</t>
        </is>
      </c>
      <c r="B21" s="4" t="inlineStr">
        <is>
          <t>2024005</t>
        </is>
      </c>
      <c r="C21" s="7">
        <f>VLOOKUP(B20,$A$5:$G$14,3,FALSE)</f>
        <v/>
      </c>
      <c r="D21" s="11" t="inlineStr">
        <is>
          <t>XI RPL 2</t>
        </is>
      </c>
    </row>
    <row r="22">
      <c r="A22" s="4" t="inlineStr">
        <is>
          <t>Cari Jurusan dari NIS</t>
        </is>
      </c>
      <c r="B22" s="4" t="inlineStr">
        <is>
          <t>2024007</t>
        </is>
      </c>
      <c r="C22" s="7">
        <f>VLOOKUP(B21,$A$5:$G$14,4,FALSE)</f>
        <v/>
      </c>
      <c r="D22" s="11" t="inlineStr">
        <is>
          <t>Multimedia</t>
        </is>
      </c>
    </row>
    <row r="23">
      <c r="A23" s="4" t="inlineStr">
        <is>
          <t>Cari Alamat dari NIS</t>
        </is>
      </c>
      <c r="B23" s="4" t="inlineStr">
        <is>
          <t>2024001</t>
        </is>
      </c>
      <c r="C23" s="7">
        <f>VLOOKUP(B22,$A$5:$G$14,6,FALSE)</f>
        <v/>
      </c>
      <c r="D23" s="11" t="inlineStr">
        <is>
          <t>Jl. Merdeka No. 10</t>
        </is>
      </c>
    </row>
    <row r="24">
      <c r="A24" s="4" t="inlineStr">
        <is>
          <t>Cari No HP dari NIS</t>
        </is>
      </c>
      <c r="B24" s="4" t="inlineStr">
        <is>
          <t>2024010</t>
        </is>
      </c>
      <c r="C24" s="7">
        <f>VLOOKUP(B23,$A$5:$G$14,7,FALSE)</f>
        <v/>
      </c>
      <c r="D24" s="11" t="inlineStr">
        <is>
          <t>081234567899</t>
        </is>
      </c>
    </row>
    <row r="25"/>
    <row r="26">
      <c r="A26" s="14" t="inlineStr">
        <is>
          <t>PENJELASAN:</t>
        </is>
      </c>
    </row>
    <row r="27">
      <c r="A27" s="8">
        <f>VLOOKUP(nama_koordinat, $A$5:$G$14, nomor_kolom, FALSE)</f>
        <v/>
      </c>
    </row>
    <row r="28">
      <c r="A28" s="15" t="inlineStr">
        <is>
          <t>$ = tanda absolut (agar range tidak berpindah saat di-drag)</t>
        </is>
      </c>
    </row>
    <row r="29">
      <c r="A29" s="15" t="inlineStr">
        <is>
          <t>FALSE = exact match (cocok persis)</t>
        </is>
      </c>
    </row>
    <row r="30">
      <c r="A30" s="15" t="inlineStr">
        <is>
          <t>TRUE = approximate match (terdekat, data harus terurut)</t>
        </is>
      </c>
    </row>
  </sheetData>
  <mergeCells count="6">
    <mergeCell ref="A30:H30"/>
    <mergeCell ref="A29:H29"/>
    <mergeCell ref="A2:H2"/>
    <mergeCell ref="A28:H28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2" customWidth="1" min="4" max="4"/>
    <col width="13" customWidth="1" min="5" max="5"/>
    <col width="19" customWidth="1" min="6" max="6"/>
    <col width="32" customWidth="1" min="7" max="7"/>
    <col width="32" customWidth="1" min="8" max="8"/>
  </cols>
  <sheetData>
    <row r="1" ht="35" customHeight="1">
      <c r="A1" s="1" t="inlineStr">
        <is>
          <t>MATERI: IF &amp; Nested IF — Percabangan Kondisional</t>
        </is>
      </c>
    </row>
    <row r="2">
      <c r="A2" s="2" t="inlineStr">
        <is>
          <t>Rumus: =IF(kondisi, "nilai_jika_benar", "nilai_jika_salah")</t>
        </is>
      </c>
    </row>
    <row r="3"/>
    <row r="4">
      <c r="A4" s="3" t="inlineStr">
        <is>
          <t>No</t>
        </is>
      </c>
      <c r="B4" s="3" t="inlineStr">
        <is>
          <t>Nama</t>
        </is>
      </c>
      <c r="C4" s="3" t="inlineStr">
        <is>
          <t>Nilai UTS</t>
        </is>
      </c>
      <c r="D4" s="3" t="inlineStr">
        <is>
          <t>Nilai UAS</t>
        </is>
      </c>
      <c r="E4" s="3" t="inlineStr">
        <is>
          <t>Nilai Tugas</t>
        </is>
      </c>
      <c r="F4" s="3" t="inlineStr">
        <is>
          <t>Rata-rata</t>
        </is>
      </c>
      <c r="G4" s="3" t="inlineStr">
        <is>
          <t>Grade</t>
        </is>
      </c>
      <c r="H4" s="3" t="inlineStr">
        <is>
          <t>Keterangan</t>
        </is>
      </c>
    </row>
    <row r="5">
      <c r="A5" s="4" t="n">
        <v>1</v>
      </c>
      <c r="B5" s="4" t="inlineStr">
        <is>
          <t>Budi</t>
        </is>
      </c>
      <c r="C5" s="4" t="n">
        <v>85</v>
      </c>
      <c r="D5" s="4" t="n">
        <v>88</v>
      </c>
      <c r="E5" s="4" t="n">
        <v>80</v>
      </c>
      <c r="F5" s="6">
        <f>AVERAGE(C5:E5)</f>
        <v/>
      </c>
      <c r="G5" s="7">
        <f>IF(F5&gt;=90,"A",IF(F5&gt;=80,"B",IF(F5&gt;=70,"C",IF(F5&gt;=60,"D","E"))))</f>
        <v/>
      </c>
      <c r="H5" s="7">
        <f>IF(F5&gt;=75,"Lulus","Tidak Lulus")</f>
        <v/>
      </c>
    </row>
    <row r="6">
      <c r="A6" s="4" t="n">
        <v>2</v>
      </c>
      <c r="B6" s="4" t="inlineStr">
        <is>
          <t>Siti</t>
        </is>
      </c>
      <c r="C6" s="4" t="n">
        <v>92</v>
      </c>
      <c r="D6" s="4" t="n">
        <v>95</v>
      </c>
      <c r="E6" s="4" t="n">
        <v>90</v>
      </c>
      <c r="F6" s="6">
        <f>AVERAGE(C6:E6)</f>
        <v/>
      </c>
      <c r="G6" s="7">
        <f>IF(F6&gt;=90,"A",IF(F6&gt;=80,"B",IF(F6&gt;=70,"C",IF(F6&gt;=60,"D","E"))))</f>
        <v/>
      </c>
      <c r="H6" s="7">
        <f>IF(F6&gt;=75,"Lulus","Tidak Lulus")</f>
        <v/>
      </c>
    </row>
    <row r="7">
      <c r="A7" s="4" t="n">
        <v>3</v>
      </c>
      <c r="B7" s="4" t="inlineStr">
        <is>
          <t>Andi</t>
        </is>
      </c>
      <c r="C7" s="4" t="n">
        <v>55</v>
      </c>
      <c r="D7" s="4" t="n">
        <v>60</v>
      </c>
      <c r="E7" s="4" t="n">
        <v>50</v>
      </c>
      <c r="F7" s="6">
        <f>AVERAGE(C7:E7)</f>
        <v/>
      </c>
      <c r="G7" s="7">
        <f>IF(F7&gt;=90,"A",IF(F7&gt;=80,"B",IF(F7&gt;=70,"C",IF(F7&gt;=60,"D","E"))))</f>
        <v/>
      </c>
      <c r="H7" s="7">
        <f>IF(F7&gt;=75,"Lulus","Tidak Lulus")</f>
        <v/>
      </c>
    </row>
    <row r="8">
      <c r="A8" s="4" t="n">
        <v>4</v>
      </c>
      <c r="B8" s="4" t="inlineStr">
        <is>
          <t>Rina</t>
        </is>
      </c>
      <c r="C8" s="4" t="n">
        <v>78</v>
      </c>
      <c r="D8" s="4" t="n">
        <v>82</v>
      </c>
      <c r="E8" s="4" t="n">
        <v>75</v>
      </c>
      <c r="F8" s="6">
        <f>AVERAGE(C8:E8)</f>
        <v/>
      </c>
      <c r="G8" s="7">
        <f>IF(F8&gt;=90,"A",IF(F8&gt;=80,"B",IF(F8&gt;=70,"C",IF(F8&gt;=60,"D","E"))))</f>
        <v/>
      </c>
      <c r="H8" s="7">
        <f>IF(F8&gt;=75,"Lulus","Tidak Lulus")</f>
        <v/>
      </c>
    </row>
    <row r="9">
      <c r="A9" s="4" t="n">
        <v>5</v>
      </c>
      <c r="B9" s="4" t="inlineStr">
        <is>
          <t>Dedi</t>
        </is>
      </c>
      <c r="C9" s="4" t="n">
        <v>90</v>
      </c>
      <c r="D9" s="4" t="n">
        <v>92</v>
      </c>
      <c r="E9" s="4" t="n">
        <v>88</v>
      </c>
      <c r="F9" s="6">
        <f>AVERAGE(C9:E9)</f>
        <v/>
      </c>
      <c r="G9" s="7">
        <f>IF(F9&gt;=90,"A",IF(F9&gt;=80,"B",IF(F9&gt;=70,"C",IF(F9&gt;=60,"D","E"))))</f>
        <v/>
      </c>
      <c r="H9" s="7">
        <f>IF(F9&gt;=75,"Lulus","Tidak Lulus")</f>
        <v/>
      </c>
    </row>
    <row r="10">
      <c r="A10" s="4" t="n">
        <v>6</v>
      </c>
      <c r="B10" s="4" t="inlineStr">
        <is>
          <t>Maya</t>
        </is>
      </c>
      <c r="C10" s="4" t="n">
        <v>45</v>
      </c>
      <c r="D10" s="4" t="n">
        <v>50</v>
      </c>
      <c r="E10" s="4" t="n">
        <v>40</v>
      </c>
      <c r="F10" s="6">
        <f>AVERAGE(C10:E10)</f>
        <v/>
      </c>
      <c r="G10" s="7">
        <f>IF(F10&gt;=90,"A",IF(F10&gt;=80,"B",IF(F10&gt;=70,"C",IF(F10&gt;=60,"D","E"))))</f>
        <v/>
      </c>
      <c r="H10" s="7">
        <f>IF(F10&gt;=75,"Lulus","Tidak Lulus")</f>
        <v/>
      </c>
    </row>
    <row r="11">
      <c r="A11" s="4" t="n">
        <v>7</v>
      </c>
      <c r="B11" s="4" t="inlineStr">
        <is>
          <t>Rizky</t>
        </is>
      </c>
      <c r="C11" s="4" t="n">
        <v>88</v>
      </c>
      <c r="D11" s="4" t="n">
        <v>85</v>
      </c>
      <c r="E11" s="4" t="n">
        <v>92</v>
      </c>
      <c r="F11" s="6">
        <f>AVERAGE(C11:E11)</f>
        <v/>
      </c>
      <c r="G11" s="7">
        <f>IF(F11&gt;=90,"A",IF(F11&gt;=80,"B",IF(F11&gt;=70,"C",IF(F11&gt;=60,"D","E"))))</f>
        <v/>
      </c>
      <c r="H11" s="7">
        <f>IF(F11&gt;=75,"Lulus","Tidak Lulus")</f>
        <v/>
      </c>
    </row>
    <row r="12">
      <c r="A12" s="4" t="n">
        <v>8</v>
      </c>
      <c r="B12" s="4" t="inlineStr">
        <is>
          <t>Lestari</t>
        </is>
      </c>
      <c r="C12" s="4" t="n">
        <v>70</v>
      </c>
      <c r="D12" s="4" t="n">
        <v>72</v>
      </c>
      <c r="E12" s="4" t="n">
        <v>68</v>
      </c>
      <c r="F12" s="6">
        <f>AVERAGE(C12:E12)</f>
        <v/>
      </c>
      <c r="G12" s="7">
        <f>IF(F12&gt;=90,"A",IF(F12&gt;=80,"B",IF(F12&gt;=70,"C",IF(F12&gt;=60,"D","E"))))</f>
        <v/>
      </c>
      <c r="H12" s="7">
        <f>IF(F12&gt;=75,"Lulus","Tidak Lulus")</f>
        <v/>
      </c>
    </row>
    <row r="13"/>
    <row r="14">
      <c r="A14" s="14" t="inlineStr">
        <is>
          <t>CONTOH RUMUS IF:</t>
        </is>
      </c>
    </row>
    <row r="15">
      <c r="A15" s="13">
        <f>IF(A1&gt;=70,"Lulus","Tidak Lulus")</f>
        <v/>
      </c>
      <c r="D15" t="inlineStr">
        <is>
          <t>Kondisi sederhana: jika &gt;= 70 Lulus</t>
        </is>
      </c>
    </row>
    <row r="16">
      <c r="A16" s="13">
        <f>IF(A1&gt;=90,"A",IF(A1&gt;=80,"B","C"))</f>
        <v/>
      </c>
      <c r="D16" t="inlineStr">
        <is>
          <t>Nested IF: Grade A, B, atau C</t>
        </is>
      </c>
    </row>
    <row r="17">
      <c r="A17" s="13">
        <f>IF(AND(A1&gt;=70,B1&gt;=70),"Lulus","Remedial")</f>
        <v/>
      </c>
      <c r="D17" t="inlineStr">
        <is>
          <t>AND: kedua kondisi harus benar</t>
        </is>
      </c>
    </row>
    <row r="18">
      <c r="A18" s="13">
        <f>IF(OR(A1&gt;=90,B1&gt;=90),"Juara","Biasa")</f>
        <v/>
      </c>
      <c r="D18" t="inlineStr">
        <is>
          <t>OR: salah satu kondisi benar</t>
        </is>
      </c>
    </row>
    <row r="19">
      <c r="A19" s="13">
        <f>IF(ISBLANK(A1),"Kosong",A1)</f>
        <v/>
      </c>
      <c r="D19" t="inlineStr">
        <is>
          <t>ISBLANK: cek sel kosong</t>
        </is>
      </c>
    </row>
  </sheetData>
  <mergeCells count="7">
    <mergeCell ref="D15:H15"/>
    <mergeCell ref="D16:H16"/>
    <mergeCell ref="A2:H2"/>
    <mergeCell ref="D19:H19"/>
    <mergeCell ref="A1:H1"/>
    <mergeCell ref="D18:H18"/>
    <mergeCell ref="D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1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1" t="inlineStr">
        <is>
          <t>MATERI: SUMIF &amp; COUNTIF — Penjumlahan &amp; Hitung Bersyarat</t>
        </is>
      </c>
    </row>
    <row r="2"/>
    <row r="3">
      <c r="A3" s="14" t="inlineStr">
        <is>
          <t>DATA PENJUALAN TOKO</t>
        </is>
      </c>
    </row>
    <row r="4">
      <c r="A4" s="3" t="inlineStr">
        <is>
          <t>No</t>
        </is>
      </c>
      <c r="B4" s="3" t="inlineStr">
        <is>
          <t>Tanggal</t>
        </is>
      </c>
      <c r="C4" s="3" t="inlineStr">
        <is>
          <t>Barang</t>
        </is>
      </c>
      <c r="D4" s="3" t="inlineStr">
        <is>
          <t>Kategori</t>
        </is>
      </c>
      <c r="E4" s="3" t="inlineStr">
        <is>
          <t>Qty</t>
        </is>
      </c>
      <c r="F4" s="3" t="inlineStr">
        <is>
          <t>Harga Satuan</t>
        </is>
      </c>
      <c r="G4" s="3" t="inlineStr">
        <is>
          <t>Total</t>
        </is>
      </c>
    </row>
    <row r="5">
      <c r="A5" s="4" t="n">
        <v>1</v>
      </c>
      <c r="B5" s="4" t="inlineStr">
        <is>
          <t>01/06/2026</t>
        </is>
      </c>
      <c r="C5" s="4" t="inlineStr">
        <is>
          <t>Pensil 2B</t>
        </is>
      </c>
      <c r="D5" s="4" t="inlineStr">
        <is>
          <t>Alat Tulis</t>
        </is>
      </c>
      <c r="E5" s="4" t="n">
        <v>10</v>
      </c>
      <c r="F5" s="4" t="n">
        <v>3000</v>
      </c>
      <c r="G5" s="5">
        <f>E5*F5</f>
        <v/>
      </c>
    </row>
    <row r="6">
      <c r="A6" s="4" t="n">
        <v>2</v>
      </c>
      <c r="B6" s="4" t="inlineStr">
        <is>
          <t>01/06/2026</t>
        </is>
      </c>
      <c r="C6" s="4" t="inlineStr">
        <is>
          <t>Buku Tulis</t>
        </is>
      </c>
      <c r="D6" s="4" t="inlineStr">
        <is>
          <t>Alat Tulis</t>
        </is>
      </c>
      <c r="E6" s="4" t="n">
        <v>20</v>
      </c>
      <c r="F6" s="4" t="n">
        <v>5000</v>
      </c>
      <c r="G6" s="5">
        <f>E6*F6</f>
        <v/>
      </c>
    </row>
    <row r="7">
      <c r="A7" s="4" t="n">
        <v>3</v>
      </c>
      <c r="B7" s="4" t="inlineStr">
        <is>
          <t>01/06/2026</t>
        </is>
      </c>
      <c r="C7" s="4" t="inlineStr">
        <is>
          <t>Snack Cemilan</t>
        </is>
      </c>
      <c r="D7" s="4" t="inlineStr">
        <is>
          <t>Makanan</t>
        </is>
      </c>
      <c r="E7" s="4" t="n">
        <v>15</v>
      </c>
      <c r="F7" s="4" t="n">
        <v>8000</v>
      </c>
      <c r="G7" s="5">
        <f>E7*F7</f>
        <v/>
      </c>
    </row>
    <row r="8">
      <c r="A8" s="4" t="n">
        <v>4</v>
      </c>
      <c r="B8" s="4" t="inlineStr">
        <is>
          <t>02/06/2026</t>
        </is>
      </c>
      <c r="C8" s="4" t="inlineStr">
        <is>
          <t>Pulpen Pilot</t>
        </is>
      </c>
      <c r="D8" s="4" t="inlineStr">
        <is>
          <t>Alat Tulis</t>
        </is>
      </c>
      <c r="E8" s="4" t="n">
        <v>8</v>
      </c>
      <c r="F8" s="4" t="n">
        <v>7000</v>
      </c>
      <c r="G8" s="5">
        <f>E8*F8</f>
        <v/>
      </c>
    </row>
    <row r="9">
      <c r="A9" s="4" t="n">
        <v>5</v>
      </c>
      <c r="B9" s="4" t="inlineStr">
        <is>
          <t>02/06/2026</t>
        </is>
      </c>
      <c r="C9" s="4" t="inlineStr">
        <is>
          <t>Mineral Water</t>
        </is>
      </c>
      <c r="D9" s="4" t="inlineStr">
        <is>
          <t>Minuman</t>
        </is>
      </c>
      <c r="E9" s="4" t="n">
        <v>30</v>
      </c>
      <c r="F9" s="4" t="n">
        <v>4000</v>
      </c>
      <c r="G9" s="5">
        <f>E9*F9</f>
        <v/>
      </c>
    </row>
    <row r="10">
      <c r="A10" s="4" t="n">
        <v>6</v>
      </c>
      <c r="B10" s="4" t="inlineStr">
        <is>
          <t>02/06/2026</t>
        </is>
      </c>
      <c r="C10" s="4" t="inlineStr">
        <is>
          <t>Kopi Sachet</t>
        </is>
      </c>
      <c r="D10" s="4" t="inlineStr">
        <is>
          <t>Minuman</t>
        </is>
      </c>
      <c r="E10" s="4" t="n">
        <v>25</v>
      </c>
      <c r="F10" s="4" t="n">
        <v>2500</v>
      </c>
      <c r="G10" s="5">
        <f>E10*F10</f>
        <v/>
      </c>
    </row>
    <row r="11">
      <c r="A11" s="4" t="n">
        <v>7</v>
      </c>
      <c r="B11" s="4" t="inlineStr">
        <is>
          <t>03/06/2026</t>
        </is>
      </c>
      <c r="C11" s="4" t="inlineStr">
        <is>
          <t>Kertas HVS</t>
        </is>
      </c>
      <c r="D11" s="4" t="inlineStr">
        <is>
          <t>Alat Tulis</t>
        </is>
      </c>
      <c r="E11" s="4" t="n">
        <v>5</v>
      </c>
      <c r="F11" s="4" t="n">
        <v>25000</v>
      </c>
      <c r="G11" s="5">
        <f>E11*F11</f>
        <v/>
      </c>
    </row>
    <row r="12">
      <c r="A12" s="4" t="n">
        <v>8</v>
      </c>
      <c r="B12" s="4" t="inlineStr">
        <is>
          <t>03/06/2026</t>
        </is>
      </c>
      <c r="C12" s="4" t="inlineStr">
        <is>
          <t>Roti Bakar</t>
        </is>
      </c>
      <c r="D12" s="4" t="inlineStr">
        <is>
          <t>Makanan</t>
        </is>
      </c>
      <c r="E12" s="4" t="n">
        <v>12</v>
      </c>
      <c r="F12" s="4" t="n">
        <v>10000</v>
      </c>
      <c r="G12" s="5">
        <f>E12*F12</f>
        <v/>
      </c>
    </row>
    <row r="13">
      <c r="A13" s="4" t="n">
        <v>9</v>
      </c>
      <c r="B13" s="4" t="inlineStr">
        <is>
          <t>03/06/2026</t>
        </is>
      </c>
      <c r="C13" s="4" t="inlineStr">
        <is>
          <t>Teh Botol</t>
        </is>
      </c>
      <c r="D13" s="4" t="inlineStr">
        <is>
          <t>Minuman</t>
        </is>
      </c>
      <c r="E13" s="4" t="n">
        <v>20</v>
      </c>
      <c r="F13" s="4" t="n">
        <v>5000</v>
      </c>
      <c r="G13" s="5">
        <f>E13*F13</f>
        <v/>
      </c>
    </row>
    <row r="14">
      <c r="A14" s="4" t="n">
        <v>10</v>
      </c>
      <c r="B14" s="4" t="inlineStr">
        <is>
          <t>03/06/2026</t>
        </is>
      </c>
      <c r="C14" s="4" t="inlineStr">
        <is>
          <t>Spidol Warna</t>
        </is>
      </c>
      <c r="D14" s="4" t="inlineStr">
        <is>
          <t>Alat Tulis</t>
        </is>
      </c>
      <c r="E14" s="4" t="n">
        <v>6</v>
      </c>
      <c r="F14" s="4" t="n">
        <v>15000</v>
      </c>
      <c r="G14" s="5">
        <f>E14*F14</f>
        <v/>
      </c>
    </row>
    <row r="15"/>
    <row r="16"/>
    <row r="17">
      <c r="A17" s="14" t="inlineStr">
        <is>
          <t>RUMUS SUMIF &amp; COUNTIF:</t>
        </is>
      </c>
    </row>
    <row r="18">
      <c r="A18" s="3" t="inlineStr">
        <is>
          <t>Kategori</t>
        </is>
      </c>
      <c r="B18" s="3" t="inlineStr">
        <is>
          <t>Total Penjualan (SUMIF)</t>
        </is>
      </c>
      <c r="C18" s="3" t="inlineStr">
        <is>
          <t>Jumlah Transaksi (COUNTIF)</t>
        </is>
      </c>
    </row>
    <row r="19">
      <c r="A19" s="4" t="inlineStr">
        <is>
          <t>Total Alat Tulis</t>
        </is>
      </c>
      <c r="B19" s="5">
        <f>SUMIF(D5:D14,"Alat Tulis",G5:G14)</f>
        <v/>
      </c>
      <c r="C19" s="7">
        <f>COUNTIF(D5:D14,"Alat Tulis")</f>
        <v/>
      </c>
    </row>
    <row r="20">
      <c r="A20" s="4" t="inlineStr">
        <is>
          <t>Total Makanan</t>
        </is>
      </c>
      <c r="B20" s="5">
        <f>SUMIF(D5:D14,"Makanan",G5:G14)</f>
        <v/>
      </c>
      <c r="C20" s="7">
        <f>COUNTIF(D5:D14,"Makanan")</f>
        <v/>
      </c>
    </row>
    <row r="21">
      <c r="A21" s="4" t="inlineStr">
        <is>
          <t>Total Minuman</t>
        </is>
      </c>
      <c r="B21" s="5">
        <f>SUMIF(D5:D14,"Minuman",G5:G14)</f>
        <v/>
      </c>
      <c r="C21" s="7">
        <f>COUNTIF(D5:D14,"Minuman")</f>
        <v/>
      </c>
    </row>
    <row r="22">
      <c r="A22" s="4" t="inlineStr">
        <is>
          <t>Total Semua</t>
        </is>
      </c>
      <c r="B22" s="5">
        <f>SUM(G5:G14)</f>
        <v/>
      </c>
      <c r="C22" s="7">
        <f>COUNT(G5:G14)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35" customHeight="1">
      <c r="A1" s="1" t="inlineStr">
        <is>
          <t>MATERI: Membuat Chart / Grafik di Excel</t>
        </is>
      </c>
    </row>
    <row r="2"/>
    <row r="3">
      <c r="A3" s="14" t="inlineStr">
        <is>
          <t>DATA PENJUALAN BULANAN</t>
        </is>
      </c>
    </row>
    <row r="4">
      <c r="A4" s="3" t="inlineStr">
        <is>
          <t>Bulan</t>
        </is>
      </c>
      <c r="B4" s="3" t="inlineStr">
        <is>
          <t>Alat Tulis</t>
        </is>
      </c>
      <c r="C4" s="3" t="inlineStr">
        <is>
          <t>Makanan</t>
        </is>
      </c>
      <c r="D4" s="3" t="inlineStr">
        <is>
          <t>Minuman</t>
        </is>
      </c>
      <c r="E4" s="3" t="inlineStr">
        <is>
          <t>Elektronik</t>
        </is>
      </c>
    </row>
    <row r="5">
      <c r="A5" s="4" t="inlineStr">
        <is>
          <t>Januari</t>
        </is>
      </c>
      <c r="B5" s="16" t="n">
        <v>2500000</v>
      </c>
      <c r="C5" s="16" t="n">
        <v>3200000</v>
      </c>
      <c r="D5" s="16" t="n">
        <v>1800000</v>
      </c>
      <c r="E5" s="16" t="n">
        <v>5000000</v>
      </c>
    </row>
    <row r="6">
      <c r="A6" s="4" t="inlineStr">
        <is>
          <t>Februari</t>
        </is>
      </c>
      <c r="B6" s="16" t="n">
        <v>2800000</v>
      </c>
      <c r="C6" s="16" t="n">
        <v>3500000</v>
      </c>
      <c r="D6" s="16" t="n">
        <v>2100000</v>
      </c>
      <c r="E6" s="16" t="n">
        <v>4800000</v>
      </c>
    </row>
    <row r="7">
      <c r="A7" s="4" t="inlineStr">
        <is>
          <t>Maret</t>
        </is>
      </c>
      <c r="B7" s="16" t="n">
        <v>3100000</v>
      </c>
      <c r="C7" s="16" t="n">
        <v>3800000</v>
      </c>
      <c r="D7" s="16" t="n">
        <v>2500000</v>
      </c>
      <c r="E7" s="16" t="n">
        <v>5200000</v>
      </c>
    </row>
    <row r="8">
      <c r="A8" s="4" t="inlineStr">
        <is>
          <t>April</t>
        </is>
      </c>
      <c r="B8" s="16" t="n">
        <v>2900000</v>
      </c>
      <c r="C8" s="16" t="n">
        <v>4100000</v>
      </c>
      <c r="D8" s="16" t="n">
        <v>2800000</v>
      </c>
      <c r="E8" s="16" t="n">
        <v>5500000</v>
      </c>
    </row>
    <row r="9">
      <c r="A9" s="4" t="inlineStr">
        <is>
          <t>Mei</t>
        </is>
      </c>
      <c r="B9" s="16" t="n">
        <v>3200000</v>
      </c>
      <c r="C9" s="16" t="n">
        <v>4500000</v>
      </c>
      <c r="D9" s="16" t="n">
        <v>3200000</v>
      </c>
      <c r="E9" s="16" t="n">
        <v>5800000</v>
      </c>
    </row>
    <row r="10">
      <c r="A10" s="4" t="inlineStr">
        <is>
          <t>Juni</t>
        </is>
      </c>
      <c r="B10" s="16" t="n">
        <v>3500000</v>
      </c>
      <c r="C10" s="16" t="n">
        <v>4800000</v>
      </c>
      <c r="D10" s="16" t="n">
        <v>3500000</v>
      </c>
      <c r="E10" s="16" t="n">
        <v>6100000</v>
      </c>
    </row>
    <row r="11">
      <c r="A11" t="inlineStr">
        <is>
          <t>TOTAL</t>
        </is>
      </c>
      <c r="B11" s="17">
        <f>SUM(B5:B10)</f>
        <v/>
      </c>
      <c r="C11" s="17">
        <f>SUM(C5:C10)</f>
        <v/>
      </c>
      <c r="D11" s="17">
        <f>SUM(D5:D10)</f>
        <v/>
      </c>
      <c r="E11" s="17">
        <f>SUM(E5:E10)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5" customHeight="1">
      <c r="A1" s="1" t="inlineStr">
        <is>
          <t>LATIHAN — Kerjakan di Excel!</t>
        </is>
      </c>
    </row>
    <row r="2">
      <c r="A2" s="18" t="inlineStr">
        <is>
          <t>Isi kolom yang kosong dengan rumus yang benar!</t>
        </is>
      </c>
    </row>
    <row r="3"/>
    <row r="4">
      <c r="A4" s="14" t="inlineStr">
        <is>
          <t>LATIHAN 1: Hitunglah!</t>
        </is>
      </c>
    </row>
    <row r="5">
      <c r="A5" s="3" t="inlineStr">
        <is>
          <t>No</t>
        </is>
      </c>
      <c r="B5" s="3" t="inlineStr">
        <is>
          <t>Nama</t>
        </is>
      </c>
      <c r="C5" s="3" t="inlineStr">
        <is>
          <t>Bindo</t>
        </is>
      </c>
      <c r="D5" s="3" t="inlineStr">
        <is>
          <t>Binggris</t>
        </is>
      </c>
      <c r="E5" s="3" t="inlineStr">
        <is>
          <t>Matematika</t>
        </is>
      </c>
      <c r="F5" s="3" t="inlineStr">
        <is>
          <t>Jumlah</t>
        </is>
      </c>
      <c r="G5" s="3" t="inlineStr">
        <is>
          <t>Rata-rata</t>
        </is>
      </c>
    </row>
    <row r="6">
      <c r="A6" s="4" t="n">
        <v>1</v>
      </c>
      <c r="B6" s="4" t="inlineStr">
        <is>
          <t>Ahmad</t>
        </is>
      </c>
      <c r="C6" s="4" t="n">
        <v>75</v>
      </c>
      <c r="D6" s="4" t="n">
        <v>80</v>
      </c>
      <c r="E6" s="4" t="n">
        <v>70</v>
      </c>
      <c r="F6" s="19" t="n"/>
      <c r="G6" s="19" t="n"/>
    </row>
    <row r="7">
      <c r="A7" s="4" t="n">
        <v>2</v>
      </c>
      <c r="B7" s="4" t="inlineStr">
        <is>
          <t>Bunga</t>
        </is>
      </c>
      <c r="C7" s="4" t="n">
        <v>88</v>
      </c>
      <c r="D7" s="4" t="n">
        <v>92</v>
      </c>
      <c r="E7" s="4" t="n">
        <v>85</v>
      </c>
      <c r="F7" s="19" t="n"/>
      <c r="G7" s="19" t="n"/>
    </row>
    <row r="8">
      <c r="A8" s="4" t="n">
        <v>3</v>
      </c>
      <c r="B8" s="4" t="inlineStr">
        <is>
          <t>Citra</t>
        </is>
      </c>
      <c r="C8" s="4" t="n">
        <v>60</v>
      </c>
      <c r="D8" s="4" t="n">
        <v>65</v>
      </c>
      <c r="E8" s="4" t="n">
        <v>55</v>
      </c>
      <c r="F8" s="19" t="n"/>
      <c r="G8" s="19" t="n"/>
    </row>
    <row r="9">
      <c r="A9" s="4" t="n">
        <v>4</v>
      </c>
      <c r="B9" s="4" t="inlineStr">
        <is>
          <t>Doni</t>
        </is>
      </c>
      <c r="C9" s="4" t="n">
        <v>95</v>
      </c>
      <c r="D9" s="4" t="n">
        <v>90</v>
      </c>
      <c r="E9" s="4" t="n">
        <v>98</v>
      </c>
      <c r="F9" s="19" t="n"/>
      <c r="G9" s="19" t="n"/>
    </row>
    <row r="10">
      <c r="A10" s="4" t="n">
        <v>5</v>
      </c>
      <c r="B10" s="4" t="inlineStr">
        <is>
          <t>Eka</t>
        </is>
      </c>
      <c r="C10" s="4" t="n">
        <v>72</v>
      </c>
      <c r="D10" s="4" t="n">
        <v>68</v>
      </c>
      <c r="E10" s="4" t="n">
        <v>75</v>
      </c>
      <c r="F10" s="19" t="n"/>
      <c r="G10" s="19" t="n"/>
    </row>
    <row r="11"/>
    <row r="12">
      <c r="A12" s="20" t="inlineStr">
        <is>
          <t>Petunjuk: Jumlah = SUM(), Rata-rata = AVERAGE()</t>
        </is>
      </c>
    </row>
    <row r="13"/>
    <row r="14">
      <c r="A14" s="14" t="inlineStr">
        <is>
          <t>LATIHAN 2: VLOOKUP!</t>
        </is>
      </c>
    </row>
    <row r="15">
      <c r="A15" s="15" t="inlineStr">
        <is>
          <t>Cari nama dan kelas berdasarkan NIS menggunakan VLOOKUP!</t>
        </is>
      </c>
    </row>
    <row r="16">
      <c r="A16" s="3" t="inlineStr">
        <is>
          <t>NIS</t>
        </is>
      </c>
      <c r="B16" s="3" t="inlineStr">
        <is>
          <t>Nama</t>
        </is>
      </c>
      <c r="C16" s="3" t="inlineStr">
        <is>
          <t>Kelas</t>
        </is>
      </c>
    </row>
    <row r="17">
      <c r="A17" s="4" t="inlineStr">
        <is>
          <t>2024003</t>
        </is>
      </c>
      <c r="B17" s="19" t="inlineStr"/>
      <c r="C17" s="19" t="inlineStr"/>
    </row>
    <row r="18">
      <c r="A18" s="4" t="inlineStr">
        <is>
          <t>2024007</t>
        </is>
      </c>
      <c r="B18" s="19" t="inlineStr"/>
      <c r="C18" s="19" t="inlineStr"/>
    </row>
    <row r="19">
      <c r="A19" s="4" t="inlineStr">
        <is>
          <t>2024001</t>
        </is>
      </c>
      <c r="B19" s="19" t="inlineStr"/>
      <c r="C19" s="19" t="inlineStr"/>
    </row>
    <row r="20">
      <c r="A20" s="20" t="inlineStr">
        <is>
          <t>Petunjuk: =VLOOKUP(A17, $A$5:$G$14, nomor_kolom, FALSE)</t>
        </is>
      </c>
    </row>
    <row r="21"/>
    <row r="22">
      <c r="A22" s="14" t="inlineStr">
        <is>
          <t>LATIHAN 3: Buatlah Grade dengan Nested IF!</t>
        </is>
      </c>
    </row>
    <row r="23">
      <c r="A23" s="3" t="inlineStr">
        <is>
          <t>No</t>
        </is>
      </c>
      <c r="B23" s="3" t="inlineStr">
        <is>
          <t>Nama</t>
        </is>
      </c>
      <c r="C23" s="3" t="inlineStr">
        <is>
          <t>Nilai</t>
        </is>
      </c>
      <c r="D23" s="3" t="inlineStr">
        <is>
          <t>Grade</t>
        </is>
      </c>
    </row>
    <row r="24">
      <c r="A24" s="4" t="n">
        <v>1</v>
      </c>
      <c r="B24" s="4" t="inlineStr">
        <is>
          <t>Fajar</t>
        </is>
      </c>
      <c r="C24" s="4" t="n">
        <v>92</v>
      </c>
      <c r="D24" s="19" t="n"/>
    </row>
    <row r="25">
      <c r="A25" s="4" t="n">
        <v>2</v>
      </c>
      <c r="B25" s="4" t="inlineStr">
        <is>
          <t>Gita</t>
        </is>
      </c>
      <c r="C25" s="4" t="n">
        <v>78</v>
      </c>
      <c r="D25" s="19" t="n"/>
    </row>
    <row r="26">
      <c r="A26" s="4" t="n">
        <v>3</v>
      </c>
      <c r="B26" s="4" t="inlineStr">
        <is>
          <t>Hendra</t>
        </is>
      </c>
      <c r="C26" s="4" t="n">
        <v>55</v>
      </c>
      <c r="D26" s="19" t="n"/>
    </row>
    <row r="27">
      <c r="A27" s="4" t="n">
        <v>4</v>
      </c>
      <c r="B27" s="4" t="inlineStr">
        <is>
          <t>Indah</t>
        </is>
      </c>
      <c r="C27" s="4" t="n">
        <v>85</v>
      </c>
      <c r="D27" s="19" t="n"/>
    </row>
    <row r="28">
      <c r="A28" s="4" t="n">
        <v>5</v>
      </c>
      <c r="B28" s="4" t="inlineStr">
        <is>
          <t>Joko</t>
        </is>
      </c>
      <c r="C28" s="4" t="n">
        <v>68</v>
      </c>
      <c r="D28" s="19" t="n"/>
    </row>
    <row r="29">
      <c r="A29" s="20" t="inlineStr">
        <is>
          <t>Petunjuk: A (&gt;=90), B (&gt;=80), C (&gt;=70), D (&gt;=60), E (&lt;60)</t>
        </is>
      </c>
    </row>
  </sheetData>
  <mergeCells count="6">
    <mergeCell ref="A2:F2"/>
    <mergeCell ref="A14:F14"/>
    <mergeCell ref="A1:F1"/>
    <mergeCell ref="A22:F22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2026-07-22T04:27:43Z</dcterms:created>
  <dcterms:modified xmlns:dcterms="http://purl.org/dc/terms/" xmlns:xsi="http://www.w3.org/2001/XMLSchema-instance" xsi:type="dcterms:W3CDTF">2026-07-22T04:27:43Z</dcterms:modified>
</cp:coreProperties>
</file>